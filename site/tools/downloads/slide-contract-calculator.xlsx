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0 &quot;lb&quot;"/>
    <numFmt numFmtId="166" formatCode="#,##0.0000 &quot;cwt&quot;"/>
    <numFmt numFmtId="167" formatCode="&quot;$&quot;#,##0.0000"/>
    <numFmt numFmtId="168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F6FB2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Slide-contract calculator for feeder cattle</t>
        </is>
      </c>
    </row>
    <row r="2">
      <c r="A2" t="inlineStr"/>
    </row>
    <row r="3">
      <c r="A3" t="inlineStr">
        <is>
          <t>This workbook is the offline Excel companion to the interactive web</t>
        </is>
      </c>
    </row>
    <row r="4">
      <c r="A4" t="inlineStr">
        <is>
          <t>calculator at https://lma-explorer.github.io/tools/slide-calculator.html.</t>
        </is>
      </c>
    </row>
    <row r="5">
      <c r="A5" t="inlineStr">
        <is>
          <t>It implements the standard slide formula documented in Rasby and Mark (2011),</t>
        </is>
      </c>
    </row>
    <row r="6">
      <c r="A6" t="inlineStr">
        <is>
          <t>Feeder cattle price slides (NebGuide G2088, University of Nebraska–Lincoln Extension).</t>
        </is>
      </c>
    </row>
    <row r="7">
      <c r="A7" t="inlineStr">
        <is>
          <t>Same math, same defaults, no internet required.</t>
        </is>
      </c>
    </row>
    <row r="8">
      <c r="A8" t="inlineStr"/>
    </row>
    <row r="9">
      <c r="A9" s="2" t="inlineStr">
        <is>
          <t>How to use</t>
        </is>
      </c>
    </row>
    <row r="10">
      <c r="A10" t="inlineStr">
        <is>
          <t>1. Go to the Calculator sheet.</t>
        </is>
      </c>
    </row>
    <row r="11">
      <c r="A11" t="inlineStr">
        <is>
          <t>2. Enter your contract terms in the YELLOW cells.</t>
        </is>
      </c>
    </row>
    <row r="12">
      <c r="A12" t="inlineStr">
        <is>
          <t>3. Read the results from the GREEN cells.</t>
        </is>
      </c>
    </row>
    <row r="13">
      <c r="A13" t="inlineStr">
        <is>
          <t>4. Do not edit the green cells — they are formulas.</t>
        </is>
      </c>
    </row>
    <row r="14">
      <c r="A14" t="inlineStr"/>
    </row>
    <row r="15">
      <c r="A15" s="2" t="inlineStr">
        <is>
          <t>Verification</t>
        </is>
      </c>
    </row>
    <row r="16">
      <c r="A16" t="inlineStr">
        <is>
          <t>The default values reproduce the heavier-than-base scenario (Example A).</t>
        </is>
      </c>
    </row>
    <row r="17">
      <c r="A17" t="inlineStr">
        <is>
          <t>The Examples sheet contains both the heavier-than-base and lighter-than-base</t>
        </is>
      </c>
    </row>
    <row r="18">
      <c r="A18" t="inlineStr">
        <is>
          <t>scenarios with their expected outputs for verification.</t>
        </is>
      </c>
    </row>
    <row r="19">
      <c r="A19" t="inlineStr"/>
    </row>
    <row r="20">
      <c r="A20" s="2" t="inlineStr">
        <is>
          <t>Note on Example B precision</t>
        </is>
      </c>
    </row>
    <row r="21">
      <c r="A21" t="inlineStr">
        <is>
          <t>This calculator uses full-precision pay weight (no rounding to the nearest pound)</t>
        </is>
      </c>
    </row>
    <row r="22">
      <c r="A22" t="inlineStr">
        <is>
          <t>at every intermediate step. Hand-worked examples that round pay weight before</t>
        </is>
      </c>
    </row>
    <row r="23">
      <c r="A23" t="inlineStr">
        <is>
          <t>computing the slide adjustment will produce per-head payments that differ by</t>
        </is>
      </c>
    </row>
    <row r="24">
      <c r="A24" t="inlineStr">
        <is>
          <t>approximately $0.10. The full-precision value is the mathematically correct one</t>
        </is>
      </c>
    </row>
    <row r="25">
      <c r="A25" t="inlineStr">
        <is>
          <t>for a real contract.</t>
        </is>
      </c>
    </row>
    <row r="26">
      <c r="A26" t="inlineStr"/>
    </row>
    <row r="27">
      <c r="A27" s="2" t="inlineStr">
        <is>
          <t>Limits and assumptions</t>
        </is>
      </c>
    </row>
    <row r="28">
      <c r="A28" t="inlineStr">
        <is>
          <t>- Post-shrink base weights are handled directly.</t>
        </is>
      </c>
    </row>
    <row r="29">
      <c r="A29" t="inlineStr">
        <is>
          <t>- Pre-shrink base weights are approximated by computing the equivalent</t>
        </is>
      </c>
    </row>
    <row r="30">
      <c r="A30" t="inlineStr">
        <is>
          <t xml:space="preserve">  post-shrink base. Verify against your specific contract.</t>
        </is>
      </c>
    </row>
    <row r="31">
      <c r="A31" t="inlineStr">
        <is>
          <t>- Banded slide rates are not supported. For banded contracts, identify</t>
        </is>
      </c>
    </row>
    <row r="32">
      <c r="A32" t="inlineStr">
        <is>
          <t xml:space="preserve">  the applicable band manually and enter that rate.</t>
        </is>
      </c>
    </row>
    <row r="33">
      <c r="A33" t="inlineStr">
        <is>
          <t>- Single-tier slides only.</t>
        </is>
      </c>
    </row>
    <row r="34">
      <c r="A34" t="inlineStr"/>
    </row>
    <row r="35">
      <c r="A35" s="2" t="inlineStr">
        <is>
          <t>Cite this tool</t>
        </is>
      </c>
    </row>
    <row r="36">
      <c r="A36" t="inlineStr">
        <is>
          <t>Sall, I., &amp; Tronstad, R. (2026). Slide-contract calculator for feeder cattle</t>
        </is>
      </c>
    </row>
    <row r="37">
      <c r="A37" t="inlineStr">
        <is>
          <t>[Interactive tool]. Livestock Marketing Alternatives Explorer.</t>
        </is>
      </c>
    </row>
    <row r="38">
      <c r="A38" t="inlineStr">
        <is>
          <t>https://lma-explorer.github.io/tools/slide-calculator.html</t>
        </is>
      </c>
    </row>
    <row r="39">
      <c r="A39" t="inlineStr"/>
    </row>
    <row r="40">
      <c r="A40" s="2" t="inlineStr">
        <is>
          <t>Reference for the slide formula</t>
        </is>
      </c>
    </row>
    <row r="41">
      <c r="A41" t="inlineStr">
        <is>
          <t>Rasby, R. J., &amp; Mark, D. R. (2011). Feeder cattle price slides (NebGuide G2088).</t>
        </is>
      </c>
    </row>
    <row r="42">
      <c r="A42" t="inlineStr">
        <is>
          <t>University of Nebraska–Lincoln Extension. https://extensionpubs.unl.edu/publication/g2088/2011/html/view</t>
        </is>
      </c>
    </row>
    <row r="43">
      <c r="A43" t="inlineStr"/>
    </row>
    <row r="44">
      <c r="A44" s="2" t="inlineStr">
        <is>
          <t>Version</t>
        </is>
      </c>
    </row>
    <row r="45">
      <c r="A45" s="3" t="inlineStr">
        <is>
          <t>Generated 2026-05-09. Update only when the math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8" customWidth="1" min="3" max="3"/>
    <col width="50" customWidth="1" min="4" max="4"/>
  </cols>
  <sheetData>
    <row r="1">
      <c r="A1" s="1" t="inlineStr">
        <is>
          <t>INPUTS — edit the yellow cells</t>
        </is>
      </c>
    </row>
    <row r="2">
      <c r="A2" s="2" t="inlineStr">
        <is>
          <t>Base price</t>
        </is>
      </c>
      <c r="B2" s="4" t="n">
        <v>245</v>
      </c>
      <c r="C2" s="3" t="inlineStr">
        <is>
          <t>$/cwt</t>
        </is>
      </c>
    </row>
    <row r="3">
      <c r="A3" s="2" t="inlineStr">
        <is>
          <t>Base weight</t>
        </is>
      </c>
      <c r="B3" s="5" t="n">
        <v>550</v>
      </c>
      <c r="C3" s="3" t="inlineStr">
        <is>
          <t>lb</t>
        </is>
      </c>
    </row>
    <row r="4">
      <c r="A4" s="2" t="inlineStr">
        <is>
          <t>Weight basis (1=post-shrink, 2=pre-shrink)</t>
        </is>
      </c>
      <c r="B4" s="5" t="n">
        <v>1</v>
      </c>
      <c r="C4" s="3" t="inlineStr"/>
    </row>
    <row r="5">
      <c r="A5" s="2" t="inlineStr">
        <is>
          <t>Weight window (±)</t>
        </is>
      </c>
      <c r="B5" s="5" t="n">
        <v>10</v>
      </c>
      <c r="C5" s="3" t="inlineStr">
        <is>
          <t>lb</t>
        </is>
      </c>
      <c r="D5" s="3" t="inlineStr">
        <is>
          <t>Range around base where slide does not apply</t>
        </is>
      </c>
    </row>
    <row r="6">
      <c r="A6" s="2" t="inlineStr">
        <is>
          <t>Slide rate</t>
        </is>
      </c>
      <c r="B6" s="4" t="n">
        <v>6</v>
      </c>
      <c r="C6" s="3" t="inlineStr">
        <is>
          <t>$/cwt</t>
        </is>
      </c>
      <c r="D6" s="3" t="inlineStr">
        <is>
          <t>Per cwt of pay weight outside the window</t>
        </is>
      </c>
    </row>
    <row r="7">
      <c r="A7" s="2" t="inlineStr">
        <is>
          <t>Slide direction (1=two-way, 2=one-way down)</t>
        </is>
      </c>
      <c r="B7" s="5" t="n">
        <v>1</v>
      </c>
      <c r="C7" s="3" t="inlineStr"/>
    </row>
    <row r="8">
      <c r="A8" s="2" t="inlineStr">
        <is>
          <t>Shrink</t>
        </is>
      </c>
      <c r="B8" s="6" t="n">
        <v>2</v>
      </c>
      <c r="C8" s="3" t="inlineStr">
        <is>
          <t>%</t>
        </is>
      </c>
    </row>
    <row r="9">
      <c r="A9" s="2" t="inlineStr">
        <is>
          <t>Delivered weight</t>
        </is>
      </c>
      <c r="B9" s="5" t="n">
        <v>600</v>
      </c>
      <c r="C9" s="3" t="inlineStr">
        <is>
          <t>lb</t>
        </is>
      </c>
    </row>
    <row r="10">
      <c r="A10" s="2" t="inlineStr">
        <is>
          <t>Number of head</t>
        </is>
      </c>
      <c r="B10" s="5" t="n">
        <v>1</v>
      </c>
      <c r="C10" s="3" t="inlineStr">
        <is>
          <t>head</t>
        </is>
      </c>
    </row>
    <row r="12">
      <c r="A12" s="1" t="inlineStr">
        <is>
          <t>OUTPUTS — green cells are computed; do not edit</t>
        </is>
      </c>
    </row>
    <row r="13">
      <c r="A13" s="2" t="inlineStr">
        <is>
          <t>Pay weight</t>
        </is>
      </c>
      <c r="B13" s="7">
        <f>$B$9*(1-$B$8/100)</f>
        <v/>
      </c>
      <c r="C13" s="3" t="inlineStr">
        <is>
          <t>lb</t>
        </is>
      </c>
      <c r="D13" s="3" t="inlineStr">
        <is>
          <t>Delivered weight after pencil shrink</t>
        </is>
      </c>
    </row>
    <row r="14">
      <c r="A14" s="2" t="inlineStr">
        <is>
          <t>Effective base weight</t>
        </is>
      </c>
      <c r="B14" s="7">
        <f>IF($B$4=1,$B$3,$B$3*(1-$B$8/100))</f>
        <v/>
      </c>
      <c r="C14" s="3" t="inlineStr">
        <is>
          <t>lb</t>
        </is>
      </c>
      <c r="D14" s="3" t="inlineStr">
        <is>
          <t>Equivalent post-shrink base after pre-shrink adjustment if applicable</t>
        </is>
      </c>
    </row>
    <row r="15">
      <c r="A15" s="2" t="inlineStr">
        <is>
          <t>Lower window bound</t>
        </is>
      </c>
      <c r="B15" s="7">
        <f>B14-$B$5</f>
        <v/>
      </c>
      <c r="C15" s="3" t="inlineStr">
        <is>
          <t>lb</t>
        </is>
      </c>
    </row>
    <row r="16">
      <c r="A16" s="2" t="inlineStr">
        <is>
          <t>Upper window bound</t>
        </is>
      </c>
      <c r="B16" s="7">
        <f>B14+$B$5</f>
        <v/>
      </c>
      <c r="C16" s="3" t="inlineStr">
        <is>
          <t>lb</t>
        </is>
      </c>
    </row>
    <row r="17">
      <c r="A17" s="2" t="inlineStr">
        <is>
          <t>Distance from window</t>
        </is>
      </c>
      <c r="B17" s="8">
        <f>IF(B13&gt;B16,(B13-B16)/100,IF(B13&lt;B15,(B15-B13)/100,0))</f>
        <v/>
      </c>
      <c r="C17" s="3" t="inlineStr">
        <is>
          <t>cwt</t>
        </is>
      </c>
      <c r="D17" s="3" t="inlineStr">
        <is>
          <t>0 if pay weight is inside the window</t>
        </is>
      </c>
    </row>
    <row r="18">
      <c r="A18" s="2" t="inlineStr">
        <is>
          <t>Direction</t>
        </is>
      </c>
      <c r="B18" s="9">
        <f>IF(B13&gt;B16,"over (heavier than base)",IF(B13&lt;B15,"under (lighter than base)","in window"))</f>
        <v/>
      </c>
      <c r="C18" s="3" t="inlineStr"/>
    </row>
    <row r="19">
      <c r="A19" s="2" t="inlineStr">
        <is>
          <t>Slide adjustment</t>
        </is>
      </c>
      <c r="B19" s="10">
        <f>IF(B13&gt;B16,-B17*$B$6,IF(B13&lt;B15,IF($B$7=1,B17*$B$6,0),0))</f>
        <v/>
      </c>
      <c r="C19" s="3" t="inlineStr">
        <is>
          <t>$/cwt</t>
        </is>
      </c>
      <c r="D19" s="3" t="inlineStr">
        <is>
          <t>Negative when heavier; positive when lighter and two-way</t>
        </is>
      </c>
    </row>
    <row r="20">
      <c r="A20" s="2" t="inlineStr">
        <is>
          <t>Adjusted price</t>
        </is>
      </c>
      <c r="B20" s="11">
        <f>$B$2+B19</f>
        <v/>
      </c>
      <c r="C20" s="3" t="inlineStr">
        <is>
          <t>$/cwt</t>
        </is>
      </c>
    </row>
    <row r="21">
      <c r="A21" s="2" t="inlineStr">
        <is>
          <t>Per-head payment</t>
        </is>
      </c>
      <c r="B21" s="11">
        <f>B13*(B20/100)</f>
        <v/>
      </c>
      <c r="C21" s="3" t="inlineStr">
        <is>
          <t>$/head</t>
        </is>
      </c>
    </row>
    <row r="22">
      <c r="A22" s="2" t="inlineStr">
        <is>
          <t>Total lot payment</t>
        </is>
      </c>
      <c r="B22" s="11">
        <f>B21*$B$10</f>
        <v/>
      </c>
      <c r="C22" s="3" t="inlineStr">
        <is>
          <t>$</t>
        </is>
      </c>
    </row>
    <row r="24">
      <c r="A24" s="1" t="inlineStr">
        <is>
          <t>NOTES</t>
        </is>
      </c>
    </row>
    <row r="25">
      <c r="A25" s="3" t="inlineStr">
        <is>
          <t>• Yellow cells = inputs (edit these). Green cells = outputs (do not edit).</t>
        </is>
      </c>
    </row>
    <row r="26">
      <c r="A26" s="3" t="inlineStr">
        <is>
          <t>• Default inputs reproduce the heavier-than-base scenario (Example A in the Examples sheet).</t>
        </is>
      </c>
    </row>
    <row r="27">
      <c r="A27" s="3" t="inlineStr">
        <is>
          <t>• Expected with default inputs: Pay weight 588 lb, Adjusted price $243.32/cwt, Per-head $1,430.72.</t>
        </is>
      </c>
    </row>
    <row r="28">
      <c r="A28" s="3" t="inlineStr">
        <is>
          <t>• See the Examples sheet for both verification scenarios and the full-precision note.</t>
        </is>
      </c>
    </row>
    <row r="29">
      <c r="A29" s="3" t="inlineStr">
        <is>
          <t>• Pre-shrink contracts vary; the basis-conversion above is a best-effort interpretation.</t>
        </is>
      </c>
    </row>
  </sheetData>
  <mergeCells count="3">
    <mergeCell ref="A1:D1"/>
    <mergeCell ref="A12:D12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60" customWidth="1" min="4" max="4"/>
  </cols>
  <sheetData>
    <row r="1">
      <c r="A1" s="1" t="inlineStr">
        <is>
          <t>Verification scenario</t>
        </is>
      </c>
      <c r="B1" s="1" t="inlineStr">
        <is>
          <t>Example A</t>
        </is>
      </c>
      <c r="C1" s="1" t="inlineStr">
        <is>
          <t>Example B</t>
        </is>
      </c>
      <c r="D1" s="1" t="inlineStr">
        <is>
          <t>Description</t>
        </is>
      </c>
    </row>
    <row r="2">
      <c r="A2" s="2" t="inlineStr">
        <is>
          <t>Description</t>
        </is>
      </c>
      <c r="B2" t="inlineStr">
        <is>
          <t>Heavier than base</t>
        </is>
      </c>
      <c r="C2" t="inlineStr">
        <is>
          <t>Lighter than base, two-way slide</t>
        </is>
      </c>
      <c r="D2" t="inlineStr">
        <is>
          <t>Two scenarios that exercise the slide formula in both directions</t>
        </is>
      </c>
    </row>
    <row r="4">
      <c r="A4" s="2" t="inlineStr">
        <is>
          <t>INPUTS</t>
        </is>
      </c>
    </row>
    <row r="5">
      <c r="A5" s="2" t="inlineStr">
        <is>
          <t>Base price ($/cwt)</t>
        </is>
      </c>
      <c r="B5" s="5" t="n">
        <v>245</v>
      </c>
      <c r="C5" s="5" t="n">
        <v>215</v>
      </c>
    </row>
    <row r="6">
      <c r="A6" s="2" t="inlineStr">
        <is>
          <t>Base weight (lb)</t>
        </is>
      </c>
      <c r="B6" s="5" t="n">
        <v>550</v>
      </c>
      <c r="C6" s="5" t="n">
        <v>500</v>
      </c>
    </row>
    <row r="7">
      <c r="A7" s="2" t="inlineStr">
        <is>
          <t>Weight basis (1=post)</t>
        </is>
      </c>
      <c r="B7" s="5" t="n">
        <v>1</v>
      </c>
      <c r="C7" s="5" t="n">
        <v>1</v>
      </c>
    </row>
    <row r="8">
      <c r="A8" s="2" t="inlineStr">
        <is>
          <t>Weight window (±lb)</t>
        </is>
      </c>
      <c r="B8" s="5" t="n">
        <v>10</v>
      </c>
      <c r="C8" s="5" t="n">
        <v>10</v>
      </c>
    </row>
    <row r="9">
      <c r="A9" s="2" t="inlineStr">
        <is>
          <t>Slide rate ($/cwt)</t>
        </is>
      </c>
      <c r="B9" s="5" t="n">
        <v>6</v>
      </c>
      <c r="C9" s="5" t="n">
        <v>8</v>
      </c>
    </row>
    <row r="10">
      <c r="A10" s="2" t="inlineStr">
        <is>
          <t>Slide direction (1=two-way)</t>
        </is>
      </c>
      <c r="B10" s="5" t="n">
        <v>1</v>
      </c>
      <c r="C10" s="5" t="n">
        <v>1</v>
      </c>
    </row>
    <row r="11">
      <c r="A11" s="2" t="inlineStr">
        <is>
          <t>Shrink (%)</t>
        </is>
      </c>
      <c r="B11" s="5" t="n">
        <v>2</v>
      </c>
      <c r="C11" s="5" t="n">
        <v>3</v>
      </c>
    </row>
    <row r="12">
      <c r="A12" s="2" t="inlineStr">
        <is>
          <t>Delivered weight (lb)</t>
        </is>
      </c>
      <c r="B12" s="5" t="n">
        <v>600</v>
      </c>
      <c r="C12" s="5" t="n">
        <v>435</v>
      </c>
    </row>
    <row r="13">
      <c r="A13" s="2" t="inlineStr">
        <is>
          <t>Number of head</t>
        </is>
      </c>
      <c r="B13" s="5" t="n">
        <v>1</v>
      </c>
      <c r="C13" s="5" t="n">
        <v>1</v>
      </c>
    </row>
    <row r="15">
      <c r="A15" s="2" t="inlineStr">
        <is>
          <t>OUTPUTS (computed)</t>
        </is>
      </c>
    </row>
    <row r="16">
      <c r="A16" s="2" t="inlineStr">
        <is>
          <t>Pay weight (lb)</t>
        </is>
      </c>
      <c r="B16" s="12">
        <f>B12*(1-B11/100)</f>
        <v/>
      </c>
      <c r="C16" s="12">
        <f>C12*(1-C11/100)</f>
        <v/>
      </c>
      <c r="D16" s="3" t="inlineStr">
        <is>
          <t>Expected: A=588.00 lb, B=421.95 lb</t>
        </is>
      </c>
    </row>
    <row r="17">
      <c r="A17" s="2" t="inlineStr">
        <is>
          <t>Effective base (lb)</t>
        </is>
      </c>
      <c r="B17" s="12">
        <f>IF(B7=1,B6,B6*(1-B11/100))</f>
        <v/>
      </c>
      <c r="C17" s="12">
        <f>IF(C7=1,C6,C6*(1-C11/100))</f>
        <v/>
      </c>
      <c r="D17" s="3" t="inlineStr">
        <is>
          <t>Expected: A=550.00 lb, B=500.00 lb</t>
        </is>
      </c>
    </row>
    <row r="18">
      <c r="A18" s="2" t="inlineStr">
        <is>
          <t>Lower window (lb)</t>
        </is>
      </c>
      <c r="B18" s="12">
        <f>B17-B8</f>
        <v/>
      </c>
      <c r="C18" s="12">
        <f>C17-C8</f>
        <v/>
      </c>
      <c r="D18" s="3" t="inlineStr">
        <is>
          <t>Expected: A=540.00 lb, B=490.00 lb</t>
        </is>
      </c>
    </row>
    <row r="19">
      <c r="A19" s="2" t="inlineStr">
        <is>
          <t>Upper window (lb)</t>
        </is>
      </c>
      <c r="B19" s="12">
        <f>B17+B8</f>
        <v/>
      </c>
      <c r="C19" s="12">
        <f>C17+C8</f>
        <v/>
      </c>
      <c r="D19" s="3" t="inlineStr">
        <is>
          <t>Expected: A=560.00 lb, B=510.00 lb</t>
        </is>
      </c>
    </row>
    <row r="20">
      <c r="A20" s="2" t="inlineStr">
        <is>
          <t>Distance from window (cwt)</t>
        </is>
      </c>
      <c r="B20" s="13">
        <f>IF(B16&gt;B19,(B16-B19)/100,IF(B16&lt;B18,(B18-B16)/100,0))</f>
        <v/>
      </c>
      <c r="C20" s="13">
        <f>IF(C16&gt;C19,(C16-C19)/100,IF(C16&lt;C18,(C18-C16)/100,0))</f>
        <v/>
      </c>
      <c r="D20" s="3" t="inlineStr">
        <is>
          <t>Expected: A=0.2800 cwt, B=0.6805 cwt</t>
        </is>
      </c>
    </row>
    <row r="21">
      <c r="A21" s="2" t="inlineStr">
        <is>
          <t>Slide adjustment ($/cwt)</t>
        </is>
      </c>
      <c r="B21" s="10">
        <f>IF(B16&gt;B19,-B20*B9,IF(B16&lt;B18,IF(B10=1,B20*B9,0),0))</f>
        <v/>
      </c>
      <c r="C21" s="10">
        <f>IF(C16&gt;C19,-C20*C9,IF(C16&lt;C18,IF(C10=1,C20*C9,0),0))</f>
        <v/>
      </c>
      <c r="D21" s="3" t="inlineStr">
        <is>
          <t>Expected: A=-$1.6800/cwt, B=+$5.4440/cwt</t>
        </is>
      </c>
    </row>
    <row r="22">
      <c r="A22" s="2" t="inlineStr">
        <is>
          <t>Adjusted price ($/cwt)</t>
        </is>
      </c>
      <c r="B22" s="11">
        <f>B5+B21</f>
        <v/>
      </c>
      <c r="C22" s="11">
        <f>C5+C21</f>
        <v/>
      </c>
      <c r="D22" s="3" t="inlineStr">
        <is>
          <t>Expected: A=$243.32/cwt, B=$220.4440/cwt</t>
        </is>
      </c>
    </row>
    <row r="23">
      <c r="A23" s="2" t="inlineStr">
        <is>
          <t>Per-head payment ($)</t>
        </is>
      </c>
      <c r="B23" s="11">
        <f>B16*B22/100</f>
        <v/>
      </c>
      <c r="C23" s="11">
        <f>C16*C22/100</f>
        <v/>
      </c>
      <c r="D23" s="3" t="inlineStr">
        <is>
          <t>Expected: A=$1,430.72, B=$930.16</t>
        </is>
      </c>
    </row>
    <row r="25">
      <c r="A25" s="3" t="inlineStr">
        <is>
          <t>If your computed values match the 'Expected' notes column, the workbook is verified.</t>
        </is>
      </c>
    </row>
    <row r="26">
      <c r="A26" s="3" t="inlineStr">
        <is>
          <t>Example B uses full-precision pay weight (421.95 lb, not rounded to 422 lb) at every intermediate step.</t>
        </is>
      </c>
    </row>
    <row r="27">
      <c r="A27" s="3" t="inlineStr">
        <is>
          <t>Hand-worked examples that round pay weight to the nearest pound will yield ~$0.10/head higher than this calculator.</t>
        </is>
      </c>
    </row>
    <row r="28">
      <c r="A28" s="3" t="inlineStr">
        <is>
          <t>The full-precision value is the mathematically correct one for a real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2026-05-09T23:36:20Z</dcterms:created>
  <dcterms:modified xmlns:dcterms="http://purl.org/dc/terms/" xmlns:xsi="http://www.w3.org/2001/XMLSchema-instance" xsi:type="dcterms:W3CDTF">2026-05-09T23:36:20Z</dcterms:modified>
</cp:coreProperties>
</file>