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mparator" sheetId="2" state="visible" r:id="rId2"/>
    <sheet xmlns:r="http://schemas.openxmlformats.org/officeDocument/2006/relationships"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6FB2"/>
      </patternFill>
    </fill>
    <fill>
      <patternFill patternType="solid">
        <fgColor rgb="00FFF2CC"/>
      </patternFill>
    </fill>
    <fill>
      <patternFill patternType="solid">
        <fgColor rgb="00EAEAE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2" fillId="4" borderId="1" pivotButton="0" quotePrefix="0" xfId="0"/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3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Marketing-channel cost comparator for feeder cattle</t>
        </is>
      </c>
    </row>
    <row r="2">
      <c r="A2" t="inlineStr"/>
    </row>
    <row r="3">
      <c r="A3" t="inlineStr">
        <is>
          <t>Interactive web version: https://lma-explorer.github.io/tools/channel-comparator.html</t>
        </is>
      </c>
    </row>
    <row r="4">
      <c r="A4" t="inlineStr">
        <is>
          <t>Same math, same defaults, no internet required.</t>
        </is>
      </c>
    </row>
    <row r="5">
      <c r="A5" t="inlineStr"/>
    </row>
    <row r="6">
      <c r="A6" t="inlineStr">
        <is>
          <t>This comparator uses the channel-fit framework described in Parish, Rhinehart, and</t>
        </is>
      </c>
    </row>
    <row r="7">
      <c r="A7" t="inlineStr">
        <is>
          <t>Anderson (2021), Marketing feeder calves (Mississippi State Extension Pub 2552), with</t>
        </is>
      </c>
    </row>
    <row r="8">
      <c r="A8" t="inlineStr">
        <is>
          <t>video-auction specifics drawn from Griffith (2015), Marketing feeder cattle via video</t>
        </is>
      </c>
    </row>
    <row r="9">
      <c r="A9" t="inlineStr">
        <is>
          <t>auction (University of Tennessee Extension Pub W 335). The cost-structure decomposition</t>
        </is>
      </c>
    </row>
    <row r="10">
      <c r="A10" t="inlineStr">
        <is>
          <t>(commission, yardage, brand inspection, fees, shrink, hauling) is the calculator's own</t>
        </is>
      </c>
    </row>
    <row r="11">
      <c r="A11" t="inlineStr">
        <is>
          <t>composition of cost categories that appear individually across the Extension literature.</t>
        </is>
      </c>
    </row>
    <row r="12">
      <c r="A12" t="inlineStr"/>
    </row>
    <row r="13">
      <c r="A13" s="2" t="inlineStr">
        <is>
          <t>How to use</t>
        </is>
      </c>
    </row>
    <row r="14">
      <c r="A14" t="inlineStr">
        <is>
          <t>1. Go to the Comparator sheet.</t>
        </is>
      </c>
    </row>
    <row r="15">
      <c r="A15" t="inlineStr">
        <is>
          <t>2. Enter your cattle, base price, and distances in the YELLOW cells (top section).</t>
        </is>
      </c>
    </row>
    <row r="16">
      <c r="A16" t="inlineStr">
        <is>
          <t>3. Optionally adjust default commission/yardage/shrink values per channel (yellow cells in the channel block).</t>
        </is>
      </c>
    </row>
    <row r="17">
      <c r="A17" t="inlineStr">
        <is>
          <t>4. Read the per-channel net price and breakdown from the GREEN cells (right column).</t>
        </is>
      </c>
    </row>
    <row r="18">
      <c r="A18" t="inlineStr">
        <is>
          <t>5. Do not edit the green cells — they are formulas.</t>
        </is>
      </c>
    </row>
    <row r="19">
      <c r="A19" t="inlineStr"/>
    </row>
    <row r="20">
      <c r="A20" s="2" t="inlineStr">
        <is>
          <t>Important: defaults are illustrative, not Arizona-verified</t>
        </is>
      </c>
    </row>
    <row r="21">
      <c r="A21" t="inlineStr">
        <is>
          <t>The default commission rates, yardage fees, and brand-inspection charges shipped in this</t>
        </is>
      </c>
    </row>
    <row r="22">
      <c r="A22" t="inlineStr">
        <is>
          <t>workbook are illustrative ranges from regional Extension literature and trade-press surveys.</t>
        </is>
      </c>
    </row>
    <row r="23">
      <c r="A23" t="inlineStr">
        <is>
          <t>They are NOT Arizona-verified figures. Before relying on this calculator for a real marketing</t>
        </is>
      </c>
    </row>
    <row r="24">
      <c r="A24" t="inlineStr">
        <is>
          <t>decision, obtain current rates from your specific barn, video-auction representative, or order</t>
        </is>
      </c>
    </row>
    <row r="25">
      <c r="A25" t="inlineStr">
        <is>
          <t>buyer. Every default is editable in the Comparator sheet.</t>
        </is>
      </c>
    </row>
    <row r="26">
      <c r="A26" t="inlineStr"/>
    </row>
    <row r="27">
      <c r="A27" s="2" t="inlineStr">
        <is>
          <t>Verification</t>
        </is>
      </c>
    </row>
    <row r="28">
      <c r="A28" t="inlineStr">
        <is>
          <t>Default inputs reproduce a worked example: 25 head × 525 lb × $285/cwt local auction,</t>
        </is>
      </c>
    </row>
    <row r="29">
      <c r="A29" t="inlineStr">
        <is>
          <t>3% commission + $8/head yardage and brand inspection (no shrink, no hauling), giving</t>
        </is>
      </c>
    </row>
    <row r="30">
      <c r="A30" t="inlineStr">
        <is>
          <t>net revenue of $36,084 (~$1,443/head). The Comparator sheet reproduces this on a single channel;</t>
        </is>
      </c>
    </row>
    <row r="31">
      <c r="A31" t="inlineStr">
        <is>
          <t>the Examples sheet shows the verification side by side with the expected values.</t>
        </is>
      </c>
    </row>
    <row r="32">
      <c r="A32" t="inlineStr"/>
    </row>
    <row r="33">
      <c r="A33" s="2" t="inlineStr">
        <is>
          <t>What's not in this comparator</t>
        </is>
      </c>
    </row>
    <row r="34">
      <c r="A34" t="inlineStr">
        <is>
          <t>Beef alliances, grid (value-based) marketing of fed cattle, retained ownership through custom</t>
        </is>
      </c>
    </row>
    <row r="35">
      <c r="A35" t="inlineStr">
        <is>
          <t>feeding, and cooperative pooled marketing are NOT included. Their value structure does not</t>
        </is>
      </c>
    </row>
    <row r="36">
      <c r="A36" t="inlineStr">
        <is>
          <t>reduce to a single comparable per-cwt number under a fixed base price. See the published</t>
        </is>
      </c>
    </row>
    <row r="37">
      <c r="A37" t="inlineStr">
        <is>
          <t>Extension references in the references list below for the producer-decision frameworks.</t>
        </is>
      </c>
    </row>
    <row r="38">
      <c r="A38" t="inlineStr"/>
    </row>
    <row r="39">
      <c r="A39" s="2" t="inlineStr">
        <is>
          <t>Cite this tool</t>
        </is>
      </c>
    </row>
    <row r="40">
      <c r="A40" t="inlineStr">
        <is>
          <t>Sall, I., &amp; Tronstad, R. (2026). Marketing-channel cost comparator for feeder cattle</t>
        </is>
      </c>
    </row>
    <row r="41">
      <c r="A41" t="inlineStr">
        <is>
          <t>[Interactive tool]. Livestock Marketing Alternatives Explorer.</t>
        </is>
      </c>
    </row>
    <row r="42">
      <c r="A42" t="inlineStr">
        <is>
          <t>https://lma-explorer.github.io/tools/channel-comparator.html</t>
        </is>
      </c>
    </row>
    <row r="43">
      <c r="A43" t="inlineStr"/>
    </row>
    <row r="44">
      <c r="A44" s="2" t="inlineStr">
        <is>
          <t>References</t>
        </is>
      </c>
    </row>
    <row r="45">
      <c r="A45" t="inlineStr">
        <is>
          <t>Griffith, A. P. (2015). Marketing feeder cattle via video auction (Pub W 335). U. Tennessee Extension.</t>
        </is>
      </c>
    </row>
    <row r="46">
      <c r="A46" t="inlineStr">
        <is>
          <t>Iowa State University Extension and Outreach. (2025). Livestock enterprise budgets for Iowa</t>
        </is>
      </c>
    </row>
    <row r="47">
      <c r="A47" t="inlineStr">
        <is>
          <t xml:space="preserve">    (Ag Decision Maker File B1-21; FM 1815, Revised June 2025).</t>
        </is>
      </c>
    </row>
    <row r="48">
      <c r="A48" t="inlineStr">
        <is>
          <t>Parish, J. A., Rhinehart, J. D., &amp; Anderson, J. D. (2021). Marketing feeder calves (Pub 2552).</t>
        </is>
      </c>
    </row>
    <row r="49">
      <c r="A49" t="inlineStr">
        <is>
          <t xml:space="preserve">    Mississippi State University Extension Service.</t>
        </is>
      </c>
    </row>
    <row r="50">
      <c r="A50" t="inlineStr">
        <is>
          <t>Sartwelle, J. D., III, Davis, E. E., Mintert, J., &amp; Borchardt, R. (2000). Beef cattle marketing</t>
        </is>
      </c>
    </row>
    <row r="51">
      <c r="A51" t="inlineStr">
        <is>
          <t xml:space="preserve">    alliances (Risk Management Publication L-5356/RM1-9.0). Texas Agricultural Extension Service,</t>
        </is>
      </c>
    </row>
    <row r="52">
      <c r="A52" t="inlineStr">
        <is>
          <t xml:space="preserve">    The Texas A&amp;M University System.</t>
        </is>
      </c>
    </row>
    <row r="53">
      <c r="A53" t="inlineStr">
        <is>
          <t>Ward, C. E., &amp; Raper, K. C. (2013). Update on beef industry alliances (Fact Sheet AGEC-614).</t>
        </is>
      </c>
    </row>
    <row r="54">
      <c r="A54" t="inlineStr">
        <is>
          <t xml:space="preserve">    Oklahoma Cooperative Extension Service.</t>
        </is>
      </c>
    </row>
    <row r="55">
      <c r="A55" t="inlineStr">
        <is>
          <t>Ward, C. E., Schroeder, T. C., &amp; Feuz, D. M. (2017). Grid pricing of fed cattle: Base prices and</t>
        </is>
      </c>
    </row>
    <row r="56">
      <c r="A56" t="inlineStr">
        <is>
          <t xml:space="preserve">    premiums-discounts (Fact Sheet AGEC-560). Oklahoma Cooperative Extension Service.</t>
        </is>
      </c>
    </row>
    <row r="57">
      <c r="A57" t="inlineStr"/>
    </row>
    <row r="58">
      <c r="A58" s="2" t="inlineStr">
        <is>
          <t>Note on Livestock Risk Protection (LRP) insurance</t>
        </is>
      </c>
    </row>
    <row r="59">
      <c r="A59" t="inlineStr">
        <is>
          <t>LRP is a USDA Risk Management Agency price-floor product available for both feeder-cattle and</t>
        </is>
      </c>
    </row>
    <row r="60">
      <c r="A60" t="inlineStr">
        <is>
          <t>fed-cattle stages with separate contract specifications for each. Current product details, coverage</t>
        </is>
      </c>
    </row>
    <row r="61">
      <c r="A61" t="inlineStr">
        <is>
          <t>prices, and premium rates are published daily by the RMA at https://www.rma.usda.gov/livestock.</t>
        </is>
      </c>
    </row>
    <row r="62">
      <c r="A62" t="inlineStr"/>
    </row>
    <row r="63">
      <c r="A63" s="2" t="inlineStr">
        <is>
          <t>Version</t>
        </is>
      </c>
    </row>
    <row r="64">
      <c r="A64" s="3" t="inlineStr">
        <is>
          <t>Generated 2026-05-09 (citations corrected). Update only when the math or defaults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30" customWidth="1" min="8" max="8"/>
  </cols>
  <sheetData>
    <row r="1">
      <c r="A1" s="1" t="inlineStr">
        <is>
          <t>GLOBAL INPUTS — edit the yellow cells</t>
        </is>
      </c>
    </row>
    <row r="2">
      <c r="A2" s="2" t="inlineStr">
        <is>
          <t>Number of head</t>
        </is>
      </c>
      <c r="B2" s="4" t="n">
        <v>25</v>
      </c>
      <c r="C2" s="3" t="inlineStr">
        <is>
          <t>head</t>
        </is>
      </c>
    </row>
    <row r="3">
      <c r="A3" s="2" t="inlineStr">
        <is>
          <t>Average weight</t>
        </is>
      </c>
      <c r="B3" s="4" t="n">
        <v>525</v>
      </c>
      <c r="C3" s="3" t="inlineStr">
        <is>
          <t>lb</t>
        </is>
      </c>
    </row>
    <row r="4">
      <c r="A4" s="2" t="inlineStr">
        <is>
          <t>Expected base cash price</t>
        </is>
      </c>
      <c r="B4" s="5" t="n">
        <v>285</v>
      </c>
      <c r="C4" s="3" t="inlineStr">
        <is>
          <t>$/cwt</t>
        </is>
      </c>
    </row>
    <row r="5">
      <c r="A5" s="2" t="inlineStr">
        <is>
          <t>Distance to local barn</t>
        </is>
      </c>
      <c r="B5" s="4" t="n">
        <v>50</v>
      </c>
      <c r="C5" s="3" t="inlineStr">
        <is>
          <t>miles</t>
        </is>
      </c>
      <c r="D5" s="3" t="inlineStr">
        <is>
          <t>One-way miles</t>
        </is>
      </c>
    </row>
    <row r="6">
      <c r="A6" s="2" t="inlineStr">
        <is>
          <t>Distance for video-rep visit</t>
        </is>
      </c>
      <c r="B6" s="4" t="n">
        <v>0</v>
      </c>
      <c r="C6" s="3" t="inlineStr">
        <is>
          <t>miles</t>
        </is>
      </c>
      <c r="D6" s="3" t="inlineStr">
        <is>
          <t>Often 0; default rep visits the ranch</t>
        </is>
      </c>
    </row>
    <row r="7">
      <c r="A7" s="2" t="inlineStr">
        <is>
          <t>Hauling rate</t>
        </is>
      </c>
      <c r="B7" s="5" t="n">
        <v>3.5</v>
      </c>
      <c r="C7" s="3" t="inlineStr">
        <is>
          <t>$/loaded mile</t>
        </is>
      </c>
    </row>
    <row r="9">
      <c r="A9" s="1" t="inlineStr">
        <is>
          <t>PER-CHANNEL COST OVERRIDES — edit yellow cells; defaults are illustrative ranges, not verified</t>
        </is>
      </c>
    </row>
    <row r="10">
      <c r="A10" s="6" t="inlineStr">
        <is>
          <t>Channel</t>
        </is>
      </c>
      <c r="B10" s="6" t="inlineStr">
        <is>
          <t>Commission %</t>
        </is>
      </c>
      <c r="C10" s="6" t="inlineStr">
        <is>
          <t>Yardage $/hd</t>
        </is>
      </c>
      <c r="D10" s="6" t="inlineStr">
        <is>
          <t>Brand $/hd</t>
        </is>
      </c>
      <c r="E10" s="6" t="inlineStr">
        <is>
          <t>Other $/hd</t>
        </is>
      </c>
      <c r="F10" s="6" t="inlineStr">
        <is>
          <t>Shrink %</t>
        </is>
      </c>
      <c r="G10" s="6" t="inlineStr">
        <is>
          <t>Hauls?</t>
        </is>
      </c>
    </row>
    <row r="11">
      <c r="A11" s="2" t="inlineStr">
        <is>
          <t>Local auction</t>
        </is>
      </c>
      <c r="B11" s="7" t="n">
        <v>3</v>
      </c>
      <c r="C11" s="8" t="n">
        <v>7</v>
      </c>
      <c r="D11" s="8" t="n">
        <v>1</v>
      </c>
      <c r="E11" s="8" t="n">
        <v>0</v>
      </c>
      <c r="F11" s="7" t="n">
        <v>4</v>
      </c>
      <c r="G11" s="9" t="inlineStr">
        <is>
          <t>local</t>
        </is>
      </c>
    </row>
    <row r="12">
      <c r="A12" s="2" t="inlineStr">
        <is>
          <t>Special feeder sale</t>
        </is>
      </c>
      <c r="B12" s="7" t="n">
        <v>4</v>
      </c>
      <c r="C12" s="8" t="n">
        <v>8</v>
      </c>
      <c r="D12" s="8" t="n">
        <v>1</v>
      </c>
      <c r="E12" s="8" t="n">
        <v>0</v>
      </c>
      <c r="F12" s="7" t="n">
        <v>4</v>
      </c>
      <c r="G12" s="9" t="inlineStr">
        <is>
          <t>local</t>
        </is>
      </c>
    </row>
    <row r="13">
      <c r="A13" s="2" t="inlineStr">
        <is>
          <t>Video auction</t>
        </is>
      </c>
      <c r="B13" s="7" t="n">
        <v>2</v>
      </c>
      <c r="C13" s="8" t="n">
        <v>0</v>
      </c>
      <c r="D13" s="8" t="n">
        <v>0</v>
      </c>
      <c r="E13" s="8" t="n">
        <v>10</v>
      </c>
      <c r="F13" s="7" t="n">
        <v>2</v>
      </c>
      <c r="G13" s="9" t="inlineStr">
        <is>
          <t>video</t>
        </is>
      </c>
    </row>
    <row r="14">
      <c r="A14" s="2" t="inlineStr">
        <is>
          <t>Internet auction</t>
        </is>
      </c>
      <c r="B14" s="7" t="n">
        <v>1.5</v>
      </c>
      <c r="C14" s="8" t="n">
        <v>0</v>
      </c>
      <c r="D14" s="8" t="n">
        <v>0</v>
      </c>
      <c r="E14" s="8" t="n">
        <v>0</v>
      </c>
      <c r="F14" s="7" t="n">
        <v>2</v>
      </c>
      <c r="G14" s="9" t="inlineStr">
        <is>
          <t>video</t>
        </is>
      </c>
    </row>
    <row r="15">
      <c r="A15" s="2" t="inlineStr">
        <is>
          <t>Private treaty</t>
        </is>
      </c>
      <c r="B15" s="7" t="n">
        <v>0</v>
      </c>
      <c r="C15" s="8" t="n">
        <v>0</v>
      </c>
      <c r="D15" s="8" t="n">
        <v>0</v>
      </c>
      <c r="E15" s="8" t="n">
        <v>0</v>
      </c>
      <c r="F15" s="7" t="n">
        <v>2</v>
      </c>
      <c r="G15" s="9" t="inlineStr">
        <is>
          <t>none</t>
        </is>
      </c>
    </row>
    <row r="17">
      <c r="A17" s="1" t="inlineStr">
        <is>
          <t>PER-CHANNEL OUTPUTS — green cells computed from the inputs above; do not edit</t>
        </is>
      </c>
    </row>
    <row r="18">
      <c r="A18" s="6" t="inlineStr">
        <is>
          <t>Channel</t>
        </is>
      </c>
      <c r="B18" s="6" t="inlineStr">
        <is>
          <t>Pay weight (lb)</t>
        </is>
      </c>
      <c r="C18" s="6" t="inlineStr">
        <is>
          <t>Gross at pay ($)</t>
        </is>
      </c>
      <c r="D18" s="6" t="inlineStr">
        <is>
          <t>Commission ($)</t>
        </is>
      </c>
      <c r="E18" s="6" t="inlineStr">
        <is>
          <t>Yardage+brand+fees ($)</t>
        </is>
      </c>
      <c r="F18" s="6" t="inlineStr">
        <is>
          <t>Hauling ($)</t>
        </is>
      </c>
      <c r="G18" s="6" t="inlineStr">
        <is>
          <t>Net revenue ($)</t>
        </is>
      </c>
      <c r="H18" s="6" t="inlineStr">
        <is>
          <t>Net $/cwt gross</t>
        </is>
      </c>
    </row>
    <row r="19">
      <c r="A19" s="2" t="inlineStr">
        <is>
          <t>Local auction</t>
        </is>
      </c>
      <c r="B19" s="10">
        <f>$B$2*$B$3*(1-F11/100)</f>
        <v/>
      </c>
      <c r="C19" s="11">
        <f>$B$4*B19/100</f>
        <v/>
      </c>
      <c r="D19" s="11">
        <f>C19*B11/100</f>
        <v/>
      </c>
      <c r="E19" s="11">
        <f>(C11+D11+E11)*$B$2</f>
        <v/>
      </c>
      <c r="F19" s="11">
        <f>$B$5*$B$7</f>
        <v/>
      </c>
      <c r="G19" s="11">
        <f>C19-D19-E19-F19</f>
        <v/>
      </c>
      <c r="H19" s="11">
        <f>G19/($B$2*$B$3/100)</f>
        <v/>
      </c>
    </row>
    <row r="20">
      <c r="A20" s="2" t="inlineStr">
        <is>
          <t>Special feeder sale</t>
        </is>
      </c>
      <c r="B20" s="10">
        <f>$B$2*$B$3*(1-F12/100)</f>
        <v/>
      </c>
      <c r="C20" s="11">
        <f>$B$4*B20/100</f>
        <v/>
      </c>
      <c r="D20" s="11">
        <f>C20*B12/100</f>
        <v/>
      </c>
      <c r="E20" s="11">
        <f>(C12+D12+E12)*$B$2</f>
        <v/>
      </c>
      <c r="F20" s="11">
        <f>$B$5*$B$7</f>
        <v/>
      </c>
      <c r="G20" s="11">
        <f>C20-D20-E20-F20</f>
        <v/>
      </c>
      <c r="H20" s="11">
        <f>G20/($B$2*$B$3/100)</f>
        <v/>
      </c>
    </row>
    <row r="21">
      <c r="A21" s="2" t="inlineStr">
        <is>
          <t>Video auction</t>
        </is>
      </c>
      <c r="B21" s="10">
        <f>$B$2*$B$3*(1-F13/100)</f>
        <v/>
      </c>
      <c r="C21" s="11">
        <f>$B$4*B21/100</f>
        <v/>
      </c>
      <c r="D21" s="11">
        <f>C21*B13/100</f>
        <v/>
      </c>
      <c r="E21" s="11">
        <f>(C13+D13+E13)*$B$2</f>
        <v/>
      </c>
      <c r="F21" s="11">
        <f>$B$6*$B$7</f>
        <v/>
      </c>
      <c r="G21" s="11">
        <f>C21-D21-E21-F21</f>
        <v/>
      </c>
      <c r="H21" s="11">
        <f>G21/($B$2*$B$3/100)</f>
        <v/>
      </c>
    </row>
    <row r="22">
      <c r="A22" s="2" t="inlineStr">
        <is>
          <t>Internet auction</t>
        </is>
      </c>
      <c r="B22" s="10">
        <f>$B$2*$B$3*(1-F14/100)</f>
        <v/>
      </c>
      <c r="C22" s="11">
        <f>$B$4*B22/100</f>
        <v/>
      </c>
      <c r="D22" s="11">
        <f>C22*B14/100</f>
        <v/>
      </c>
      <c r="E22" s="11">
        <f>(C14+D14+E14)*$B$2</f>
        <v/>
      </c>
      <c r="F22" s="11">
        <f>$B$6*$B$7</f>
        <v/>
      </c>
      <c r="G22" s="11">
        <f>C22-D22-E22-F22</f>
        <v/>
      </c>
      <c r="H22" s="11">
        <f>G22/($B$2*$B$3/100)</f>
        <v/>
      </c>
    </row>
    <row r="23">
      <c r="A23" s="2" t="inlineStr">
        <is>
          <t>Private treaty</t>
        </is>
      </c>
      <c r="B23" s="10">
        <f>$B$2*$B$3*(1-F15/100)</f>
        <v/>
      </c>
      <c r="C23" s="11">
        <f>$B$4*B23/100</f>
        <v/>
      </c>
      <c r="D23" s="11">
        <f>C23*B15/100</f>
        <v/>
      </c>
      <c r="E23" s="11">
        <f>(C15+D15+E15)*$B$2</f>
        <v/>
      </c>
      <c r="F23" s="11">
        <f>0</f>
        <v/>
      </c>
      <c r="G23" s="11">
        <f>C23-D23-E23-F23</f>
        <v/>
      </c>
      <c r="H23" s="11">
        <f>G23/($B$2*$B$3/100)</f>
        <v/>
      </c>
    </row>
    <row r="25">
      <c r="A25" s="1" t="inlineStr">
        <is>
          <t>NOTES</t>
        </is>
      </c>
    </row>
    <row r="26">
      <c r="A26" s="3" t="inlineStr">
        <is>
          <t>• 'Hauls?' column shows whether the producer pays for hauling under each channel:</t>
        </is>
      </c>
    </row>
    <row r="27">
      <c r="A27" s="3" t="inlineStr">
        <is>
          <t xml:space="preserve">    'local' = full producer-paid haul to the local barn (rate × distance).</t>
        </is>
      </c>
    </row>
    <row r="28">
      <c r="A28" s="3" t="inlineStr">
        <is>
          <t xml:space="preserve">    'video' = small rep-visit haul only (typically 0 miles; default 0).</t>
        </is>
      </c>
    </row>
    <row r="29">
      <c r="A29" s="3" t="inlineStr">
        <is>
          <t xml:space="preserve">    'none' = buyer typically pays delivery; from the producer's perspective, $0 hauling.</t>
        </is>
      </c>
    </row>
    <row r="30">
      <c r="A30" s="3" t="inlineStr">
        <is>
          <t>• Default values are illustrative ranges. Replace with rates from your specific barn or video rep before relying on the output.</t>
        </is>
      </c>
    </row>
    <row r="31">
      <c r="A31" s="3" t="inlineStr">
        <is>
          <t>• Net $/cwt is per cwt of GROSS weight (pre-shrink), so it is directly comparable to the entered base price.</t>
        </is>
      </c>
    </row>
    <row r="32">
      <c r="A32" s="3" t="inlineStr">
        <is>
          <t>• See the Examples sheet for the worked-example verification scenario.</t>
        </is>
      </c>
    </row>
    <row r="33">
      <c r="A33" s="3" t="inlineStr">
        <is>
          <t>• Channels not modeled: alliance, grid, retained ownership, cooperative pooling. See the About sheet references.</t>
        </is>
      </c>
    </row>
  </sheetData>
  <mergeCells count="6">
    <mergeCell ref="A9:H9"/>
    <mergeCell ref="D6:H6"/>
    <mergeCell ref="A25:H25"/>
    <mergeCell ref="D5:H5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50" customWidth="1" min="4" max="4"/>
    <col width="16" customWidth="1" min="5" max="5"/>
  </cols>
  <sheetData>
    <row r="1">
      <c r="A1" s="1" t="inlineStr">
        <is>
          <t>Worked-example verification scenario</t>
        </is>
      </c>
    </row>
    <row r="3">
      <c r="A3" s="2" t="inlineStr">
        <is>
          <t>Setup</t>
        </is>
      </c>
      <c r="D3" s="2" t="inlineStr">
        <is>
          <t>Description</t>
        </is>
      </c>
    </row>
    <row r="4">
      <c r="A4" s="2" t="inlineStr">
        <is>
          <t>Number of head</t>
        </is>
      </c>
      <c r="B4" s="4" t="n">
        <v>25</v>
      </c>
      <c r="C4" s="3" t="inlineStr">
        <is>
          <t>head</t>
        </is>
      </c>
    </row>
    <row r="5">
      <c r="A5" s="2" t="inlineStr">
        <is>
          <t>Average weight</t>
        </is>
      </c>
      <c r="B5" s="4" t="n">
        <v>525</v>
      </c>
      <c r="C5" s="3" t="inlineStr">
        <is>
          <t>lb</t>
        </is>
      </c>
    </row>
    <row r="6">
      <c r="A6" s="2" t="inlineStr">
        <is>
          <t>Base cash price</t>
        </is>
      </c>
      <c r="B6" s="4" t="n">
        <v>285</v>
      </c>
      <c r="C6" s="3" t="inlineStr">
        <is>
          <t>$/cwt</t>
        </is>
      </c>
    </row>
    <row r="7">
      <c r="A7" s="2" t="inlineStr">
        <is>
          <t>Channel</t>
        </is>
      </c>
      <c r="B7" s="4" t="inlineStr">
        <is>
          <t>Local auction</t>
        </is>
      </c>
      <c r="C7" s="3" t="inlineStr"/>
    </row>
    <row r="8">
      <c r="A8" s="2" t="inlineStr">
        <is>
          <t>Commission</t>
        </is>
      </c>
      <c r="B8" s="4" t="n">
        <v>3</v>
      </c>
      <c r="C8" s="3" t="inlineStr">
        <is>
          <t>%</t>
        </is>
      </c>
    </row>
    <row r="9">
      <c r="A9" s="2" t="inlineStr">
        <is>
          <t>Yardage + brand</t>
        </is>
      </c>
      <c r="B9" s="4" t="n">
        <v>8</v>
      </c>
      <c r="C9" s="3" t="inlineStr">
        <is>
          <t>$/head</t>
        </is>
      </c>
    </row>
    <row r="10">
      <c r="A10" s="2" t="inlineStr">
        <is>
          <t>Shrink</t>
        </is>
      </c>
      <c r="B10" s="4" t="n">
        <v>0</v>
      </c>
      <c r="C10" s="3" t="inlineStr">
        <is>
          <t>% (no shrink in this verification scenario)</t>
        </is>
      </c>
    </row>
    <row r="11">
      <c r="A11" s="2" t="inlineStr">
        <is>
          <t>Distance / hauling</t>
        </is>
      </c>
      <c r="B11" s="4" t="n">
        <v>0</v>
      </c>
      <c r="C11" s="3" t="inlineStr">
        <is>
          <t>miles (no hauling in this verification scenario)</t>
        </is>
      </c>
    </row>
    <row r="13">
      <c r="A13" s="2" t="inlineStr">
        <is>
          <t>Computed</t>
        </is>
      </c>
      <c r="D13" s="2" t="inlineStr">
        <is>
          <t>Expected (hand-checked)</t>
        </is>
      </c>
    </row>
    <row r="14">
      <c r="A14" s="2" t="inlineStr">
        <is>
          <t>Gross at pay weight</t>
        </is>
      </c>
      <c r="B14" s="11">
        <f>B4*B5*(1-B10/100)*B6/100</f>
        <v/>
      </c>
      <c r="D14" s="3" t="inlineStr">
        <is>
          <t>$37,406.25</t>
        </is>
      </c>
    </row>
    <row r="15">
      <c r="A15" s="2" t="inlineStr">
        <is>
          <t>Commission (3%)</t>
        </is>
      </c>
      <c r="B15" s="11">
        <f>B14*B8/100</f>
        <v/>
      </c>
      <c r="D15" s="3" t="inlineStr">
        <is>
          <t>$1,122.19</t>
        </is>
      </c>
    </row>
    <row r="16">
      <c r="A16" s="2" t="inlineStr">
        <is>
          <t>Yardage + brand inspection</t>
        </is>
      </c>
      <c r="B16" s="11">
        <f>B9*B4</f>
        <v/>
      </c>
      <c r="D16" s="3" t="inlineStr">
        <is>
          <t>$200 ($8/head × 25 head)</t>
        </is>
      </c>
    </row>
    <row r="17">
      <c r="A17" s="2" t="inlineStr">
        <is>
          <t>Total deductions</t>
        </is>
      </c>
      <c r="B17" s="11">
        <f>B15+B16</f>
        <v/>
      </c>
      <c r="D17" s="3" t="inlineStr">
        <is>
          <t>~$1,322</t>
        </is>
      </c>
    </row>
    <row r="18">
      <c r="A18" s="2" t="inlineStr">
        <is>
          <t>Net revenue</t>
        </is>
      </c>
      <c r="B18" s="11">
        <f>B14-B17</f>
        <v/>
      </c>
      <c r="D18" s="3" t="inlineStr">
        <is>
          <t>~$36,084</t>
        </is>
      </c>
    </row>
    <row r="19">
      <c r="A19" s="2" t="inlineStr">
        <is>
          <t>Net per head</t>
        </is>
      </c>
      <c r="B19" s="11">
        <f>B18/B4</f>
        <v/>
      </c>
      <c r="D19" s="3" t="inlineStr">
        <is>
          <t>~$1,443</t>
        </is>
      </c>
    </row>
    <row r="21">
      <c r="A21" s="3" t="inlineStr">
        <is>
          <t>If the computed values match the 'Expected' column to within $5, the workbook is verified.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2026-05-09T23:36:20Z</dcterms:created>
  <dcterms:modified xmlns:dcterms="http://purl.org/dc/terms/" xmlns:xsi="http://www.w3.org/2001/XMLSchema-instance" xsi:type="dcterms:W3CDTF">2026-05-09T23:36:20Z</dcterms:modified>
</cp:coreProperties>
</file>