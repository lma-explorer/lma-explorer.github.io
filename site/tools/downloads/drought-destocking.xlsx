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ught desto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F6FB2"/>
      <sz val="14"/>
    </font>
    <font>
      <name val="Arial"/>
      <i val="1"/>
      <color rgb="00555555"/>
      <sz val="9"/>
    </font>
    <font>
      <name val="Arial"/>
      <b val="1"/>
      <color rgb="002F6FB2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FFF8E0"/>
        <bgColor rgb="00FFF8E0"/>
      </patternFill>
    </fill>
    <fill>
      <patternFill patternType="solid">
        <fgColor rgb="00F0F0F0"/>
        <bgColor rgb="00F0F0F0"/>
      </patternFill>
    </fill>
    <fill>
      <patternFill patternType="solid">
        <fgColor rgb="00E8F4E8"/>
        <bgColor rgb="00E8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" fontId="0" fillId="2" borderId="0" pivotButton="0" quotePrefix="0" xfId="0"/>
    <xf numFmtId="164" fontId="0" fillId="2" borderId="0" pivotButton="0" quotePrefix="0" xfId="0"/>
    <xf numFmtId="165" fontId="0" fillId="3" borderId="0" pivotButton="0" quotePrefix="0" xfId="0"/>
    <xf numFmtId="164" fontId="0" fillId="3" borderId="0" pivotButton="0" quotePrefix="0" xfId="0"/>
    <xf numFmtId="164" fontId="4" fillId="4" borderId="0" pivotButton="0" quotePrefix="0" xfId="0"/>
    <xf numFmtId="0" fontId="4" fillId="4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Drought-destocking decision calculator — offline companion</t>
        </is>
      </c>
    </row>
    <row r="3" ht="72" customHeight="1">
      <c r="A3" s="2" t="inlineStr">
        <is>
          <t>This spreadsheet reproduces the math of the web calculator at https://lma-explorer.github.io/tools/drought-destocking.html — it is an educational calculator, NOT financial or business advice. The default values are illustrative ranges from regional Extension literature, not Arizona-verified figures. See the methodology page for the full math and limitations. Edit the pale-yellow cells in column B to match your operation.</t>
        </is>
      </c>
    </row>
    <row r="5">
      <c r="A5" s="3" t="inlineStr">
        <is>
          <t>Inputs (edit values in column B)</t>
        </is>
      </c>
    </row>
    <row r="6">
      <c r="A6" t="inlineStr">
        <is>
          <t>Current herd size</t>
        </is>
      </c>
      <c r="B6" s="4" t="n">
        <v>200</v>
      </c>
      <c r="C6" t="inlineStr">
        <is>
          <t>head</t>
        </is>
      </c>
    </row>
    <row r="7">
      <c r="A7" t="inlineStr">
        <is>
          <t>Destocking depth (%)</t>
        </is>
      </c>
      <c r="B7" s="4" t="n">
        <v>50</v>
      </c>
      <c r="C7" t="inlineStr">
        <is>
          <t>% of herd</t>
        </is>
      </c>
    </row>
    <row r="8">
      <c r="A8" t="inlineStr">
        <is>
          <t>Cull cow price</t>
        </is>
      </c>
      <c r="B8" s="5" t="n">
        <v>130</v>
      </c>
      <c r="C8" t="inlineStr">
        <is>
          <t>$/cwt</t>
        </is>
      </c>
    </row>
    <row r="9">
      <c r="A9" t="inlineStr">
        <is>
          <t>Average cull cow weight</t>
        </is>
      </c>
      <c r="B9" s="4" t="n">
        <v>1100</v>
      </c>
      <c r="C9" t="inlineStr">
        <is>
          <t>lbs</t>
        </is>
      </c>
    </row>
    <row r="10">
      <c r="A10" t="inlineStr">
        <is>
          <t>Expected drought duration</t>
        </is>
      </c>
      <c r="B10" s="4" t="n">
        <v>18</v>
      </c>
      <c r="C10" t="inlineStr">
        <is>
          <t>months</t>
        </is>
      </c>
    </row>
    <row r="11">
      <c r="A11" t="inlineStr">
        <is>
          <t>Breeding success during drought</t>
        </is>
      </c>
      <c r="B11" s="4" t="n">
        <v>60</v>
      </c>
      <c r="C11" t="inlineStr">
        <is>
          <t>%</t>
        </is>
      </c>
    </row>
    <row r="12">
      <c r="A12" t="inlineStr">
        <is>
          <t>Forage cost</t>
        </is>
      </c>
      <c r="B12" s="5" t="n">
        <v>4.5</v>
      </c>
      <c r="C12" t="inlineStr">
        <is>
          <t>$/head/day</t>
        </is>
      </c>
    </row>
    <row r="13">
      <c r="A13" t="inlineStr">
        <is>
          <t>Water-haul cost</t>
        </is>
      </c>
      <c r="B13" s="5" t="n">
        <v>0</v>
      </c>
      <c r="C13" t="inlineStr">
        <is>
          <t>$/head/day</t>
        </is>
      </c>
    </row>
    <row r="14">
      <c r="A14" t="inlineStr">
        <is>
          <t>Supplemental feed + vet</t>
        </is>
      </c>
      <c r="B14" s="5" t="n">
        <v>30</v>
      </c>
      <c r="C14" t="inlineStr">
        <is>
          <t>$/head/month</t>
        </is>
      </c>
    </row>
    <row r="15">
      <c r="A15" t="inlineStr">
        <is>
          <t>Calf revenue (per successful calf)</t>
        </is>
      </c>
      <c r="B15" s="5" t="n">
        <v>850</v>
      </c>
      <c r="C15" t="inlineStr">
        <is>
          <t>$</t>
        </is>
      </c>
    </row>
    <row r="16">
      <c r="A16" t="inlineStr">
        <is>
          <t>Replacement cow cost post-drought</t>
        </is>
      </c>
      <c r="B16" s="5" t="n">
        <v>1800</v>
      </c>
      <c r="C16" t="inlineStr">
        <is>
          <t>$/head</t>
        </is>
      </c>
    </row>
    <row r="17">
      <c r="A17" t="inlineStr">
        <is>
          <t>Annual discount rate</t>
        </is>
      </c>
      <c r="B17" s="4" t="n">
        <v>7</v>
      </c>
      <c r="C17" t="inlineStr">
        <is>
          <t>% (4% real + 3% risk premium per Bastian-Ritten-Derner 2018)</t>
        </is>
      </c>
    </row>
    <row r="19">
      <c r="A19" s="3" t="inlineStr">
        <is>
          <t>Derived parameters (auto-computed)</t>
        </is>
      </c>
    </row>
    <row r="20">
      <c r="A20" t="inlineStr">
        <is>
          <t>Drought duration (years)</t>
        </is>
      </c>
      <c r="B20" s="6">
        <f>B10/12</f>
        <v/>
      </c>
      <c r="C20" t="inlineStr">
        <is>
          <t>T</t>
        </is>
      </c>
    </row>
    <row r="21">
      <c r="A21" t="inlineStr">
        <is>
          <t>Discount rate (decimal)</t>
        </is>
      </c>
      <c r="B21" s="6">
        <f>B17/100</f>
        <v/>
      </c>
      <c r="C21" t="inlineStr">
        <is>
          <t>r</t>
        </is>
      </c>
    </row>
    <row r="22">
      <c r="A22" t="inlineStr">
        <is>
          <t>Breeding success (decimal)</t>
        </is>
      </c>
      <c r="B22" s="6">
        <f>B11/100</f>
        <v/>
      </c>
      <c r="C22" t="inlineStr"/>
    </row>
    <row r="23">
      <c r="A23" t="inlineStr">
        <is>
          <t>Annual cost (per head)</t>
        </is>
      </c>
      <c r="B23" s="7">
        <f>(B12+B13)*365+B14*12</f>
        <v/>
      </c>
      <c r="C23" t="inlineStr">
        <is>
          <t>$/cow/year</t>
        </is>
      </c>
    </row>
    <row r="24">
      <c r="A24" t="inlineStr">
        <is>
          <t>Cull revenue today (per head)</t>
        </is>
      </c>
      <c r="B24" s="7">
        <f>B8*B9/100</f>
        <v/>
      </c>
      <c r="C24" t="inlineStr">
        <is>
          <t>$/cow ($/cwt × lbs/100)</t>
        </is>
      </c>
    </row>
    <row r="25">
      <c r="A25" t="inlineStr">
        <is>
          <t>Annual net cash flow (per head)</t>
        </is>
      </c>
      <c r="B25" s="7">
        <f>B22*B15-B23</f>
        <v/>
      </c>
      <c r="C25" t="inlineStr">
        <is>
          <t>$/cow/year (breed × calf − annual cost)</t>
        </is>
      </c>
    </row>
    <row r="27">
      <c r="A27" s="3" t="inlineStr">
        <is>
          <t>NPV(HOLD) per cow</t>
        </is>
      </c>
    </row>
    <row r="28">
      <c r="A28" t="inlineStr">
        <is>
          <t>Annuity factor: (1 − (1+r)^−T) / r</t>
        </is>
      </c>
      <c r="B28" s="6">
        <f>(1-(1+B21)^(-B20))/B21</f>
        <v/>
      </c>
      <c r="C28" t="inlineStr"/>
    </row>
    <row r="29">
      <c r="A29" t="inlineStr">
        <is>
          <t>Annuity PV</t>
        </is>
      </c>
      <c r="B29" s="7">
        <f>B25*B28</f>
        <v/>
      </c>
      <c r="C29" t="inlineStr">
        <is>
          <t>$/cow</t>
        </is>
      </c>
    </row>
    <row r="30">
      <c r="A30" t="inlineStr">
        <is>
          <t>Discount factor at T: (1+r)^−T</t>
        </is>
      </c>
      <c r="B30" s="6">
        <f>(1+B21)^(-B20)</f>
        <v/>
      </c>
      <c r="C30" t="inlineStr"/>
    </row>
    <row r="31">
      <c r="A31" t="inlineStr">
        <is>
          <t>Salvage value (default = cull today)</t>
        </is>
      </c>
      <c r="B31" s="7">
        <f>B24</f>
        <v/>
      </c>
      <c r="C31" t="inlineStr">
        <is>
          <t>$/cow</t>
        </is>
      </c>
    </row>
    <row r="32">
      <c r="A32" t="inlineStr">
        <is>
          <t>Salvage PV</t>
        </is>
      </c>
      <c r="B32" s="7">
        <f>B31*B30</f>
        <v/>
      </c>
      <c r="C32" t="inlineStr">
        <is>
          <t>$/cow</t>
        </is>
      </c>
    </row>
    <row r="33">
      <c r="A33" t="inlineStr">
        <is>
          <t>NPV(HOLD) per cow</t>
        </is>
      </c>
      <c r="B33" s="8">
        <f>B29+B32</f>
        <v/>
      </c>
      <c r="C33" t="inlineStr">
        <is>
          <t>$/cow</t>
        </is>
      </c>
    </row>
    <row r="35">
      <c r="A35" s="3" t="inlineStr">
        <is>
          <t>NPV(SELL NOW) per cow</t>
        </is>
      </c>
    </row>
    <row r="36">
      <c r="A36" t="inlineStr">
        <is>
          <t>Cull revenue today</t>
        </is>
      </c>
      <c r="B36" s="7">
        <f>B24</f>
        <v/>
      </c>
      <c r="C36" t="inlineStr">
        <is>
          <t>$/cow</t>
        </is>
      </c>
    </row>
    <row r="37">
      <c r="A37" t="inlineStr">
        <is>
          <t>Replacement cost PV (paid at T)</t>
        </is>
      </c>
      <c r="B37" s="7">
        <f>B16*B30</f>
        <v/>
      </c>
      <c r="C37" t="inlineStr">
        <is>
          <t>$/cow (cost discounted to present value)</t>
        </is>
      </c>
    </row>
    <row r="38">
      <c r="A38" t="inlineStr">
        <is>
          <t>NPV(SELL) per cow</t>
        </is>
      </c>
      <c r="B38" s="8">
        <f>B36-B37</f>
        <v/>
      </c>
      <c r="C38" t="inlineStr">
        <is>
          <t>$/cow</t>
        </is>
      </c>
    </row>
    <row r="40">
      <c r="A40" s="3" t="inlineStr">
        <is>
          <t>Decision (model output, NOT a recommendation)</t>
        </is>
      </c>
    </row>
    <row r="41">
      <c r="A41" t="inlineStr">
        <is>
          <t>Margin: NPV(HOLD) − NPV(SELL)</t>
        </is>
      </c>
      <c r="B41" s="8">
        <f>B33-B38</f>
        <v/>
      </c>
      <c r="C41" t="inlineStr">
        <is>
          <t>$/cow (positive = HOLD favored, negative = SELL favored)</t>
        </is>
      </c>
    </row>
    <row r="42">
      <c r="A42" t="inlineStr">
        <is>
          <t>Decision band</t>
        </is>
      </c>
      <c r="B42" s="9">
        <f>IF(B41&gt;100,"Model: HOLD &gt; SELL (clear margin)",IF(B41&gt;25,"Model: HOLD &gt; SELL (moderate margin)",IF(B41&gt;-25,"Model: borderline",IF(B41&gt;-100,"Model: SELL &gt; HOLD (moderate margin)","Model: SELL &gt; HOLD (clear margin)"))))</f>
        <v/>
      </c>
    </row>
    <row r="43" ht="36" customHeight="1">
      <c r="A43" t="inlineStr">
        <is>
          <t>Indifference duration T*</t>
        </is>
      </c>
      <c r="B43" s="10" t="inlineStr">
        <is>
          <t>see note →</t>
        </is>
      </c>
      <c r="C43" s="11" t="inlineStr">
        <is>
          <t>T* requires iterative bisection; not closed-form. Use the web calculator's headline T* output, or run Excel's Goal Seek (Data → What-If Analysis → Goal Seek): Set cell B41 to value 0 by changing cell B10.</t>
        </is>
      </c>
    </row>
    <row r="45">
      <c r="A45" s="3" t="inlineStr">
        <is>
          <t>Whole-herd dollar impact (at your destocking depth)</t>
        </is>
      </c>
    </row>
    <row r="46">
      <c r="A46" t="inlineStr">
        <is>
          <t>Cows affected</t>
        </is>
      </c>
      <c r="B46" s="12">
        <f>ROUND(B6*B7/100,0)</f>
        <v/>
      </c>
      <c r="C46" t="inlineStr">
        <is>
          <t>head (herd × destocking depth)</t>
        </is>
      </c>
    </row>
    <row r="47">
      <c r="A47" t="inlineStr">
        <is>
          <t>Total dollar impact</t>
        </is>
      </c>
      <c r="B47" s="8">
        <f>ABS(B41)*B46</f>
        <v/>
      </c>
      <c r="C47" t="inlineStr">
        <is>
          <t>$ in favor of the higher-NPV scenario</t>
        </is>
      </c>
    </row>
    <row r="49">
      <c r="A49" s="3" t="inlineStr">
        <is>
          <t>Methodology</t>
        </is>
      </c>
    </row>
    <row r="50" ht="48" customHeight="1">
      <c r="A50" s="2" t="inlineStr">
        <is>
          <t>Full math, anchor citations (Bastian et al. 2009 J. ASFMRA; Ritten et al. 2010 JAAE; Hawkes et al. 2018 az1764), and the limitations the model deliberately does NOT address — at https://lma-explorer.github.io/methodology/drought-destocking.html</t>
        </is>
      </c>
    </row>
  </sheetData>
  <mergeCells count="3">
    <mergeCell ref="A1:C1"/>
    <mergeCell ref="A50:C50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2026-05-14T05:06:59Z</dcterms:created>
  <dcterms:modified xmlns:dcterms="http://purl.org/dc/terms/" xmlns:xsi="http://www.w3.org/2001/XMLSchema-instance" xsi:type="dcterms:W3CDTF">2026-05-14T05:06:59Z</dcterms:modified>
</cp:coreProperties>
</file>